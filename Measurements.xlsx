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fionn\OneDrive\Documents\tudelft\MSc\Q4\Fieldwork\B_Module_Fieldwork\"/>
    </mc:Choice>
  </mc:AlternateContent>
  <xr:revisionPtr revIDLastSave="0" documentId="13_ncr:1_{B83DDA8B-9009-461B-95EE-604CE5DBAB5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H values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2" l="1"/>
  <c r="B7" i="2"/>
  <c r="B5" i="2"/>
  <c r="A8" i="2"/>
  <c r="B8" i="2" s="1"/>
  <c r="A9" i="2" l="1"/>
  <c r="B9" i="2" l="1"/>
  <c r="A10" i="2"/>
  <c r="A11" i="2" l="1"/>
  <c r="B10" i="2"/>
  <c r="A12" i="2" l="1"/>
  <c r="B11" i="2"/>
  <c r="A13" i="2" l="1"/>
  <c r="B12" i="2"/>
  <c r="A14" i="2" l="1"/>
  <c r="B13" i="2"/>
  <c r="A15" i="2" l="1"/>
  <c r="B14" i="2"/>
  <c r="A16" i="2" l="1"/>
  <c r="B15" i="2"/>
  <c r="A17" i="2" l="1"/>
  <c r="B16" i="2"/>
  <c r="A18" i="2" l="1"/>
  <c r="B17" i="2"/>
  <c r="A19" i="2" l="1"/>
  <c r="B18" i="2"/>
  <c r="A20" i="2" l="1"/>
  <c r="B19" i="2"/>
  <c r="A21" i="2" l="1"/>
  <c r="B20" i="2"/>
  <c r="A22" i="2" l="1"/>
  <c r="B21" i="2"/>
  <c r="A23" i="2" l="1"/>
  <c r="B22" i="2"/>
  <c r="A24" i="2" l="1"/>
  <c r="B23" i="2"/>
  <c r="B24" i="2" l="1"/>
  <c r="A25" i="2"/>
  <c r="B25" i="2" l="1"/>
  <c r="A26" i="2"/>
  <c r="B26" i="2" l="1"/>
  <c r="A27" i="2"/>
  <c r="B27" i="2" l="1"/>
  <c r="A28" i="2"/>
  <c r="B28" i="2" s="1"/>
</calcChain>
</file>

<file path=xl/sharedStrings.xml><?xml version="1.0" encoding="utf-8"?>
<sst xmlns="http://schemas.openxmlformats.org/spreadsheetml/2006/main" count="20" uniqueCount="20">
  <si>
    <t>Location</t>
  </si>
  <si>
    <t>Sample ID</t>
  </si>
  <si>
    <t>pH in field strip</t>
  </si>
  <si>
    <t xml:space="preserve">pH in field Probe </t>
  </si>
  <si>
    <t xml:space="preserve">pH in lab strip </t>
  </si>
  <si>
    <t>pH in lab probe/digital</t>
  </si>
  <si>
    <t>LG stream</t>
  </si>
  <si>
    <t>LG lake</t>
  </si>
  <si>
    <t>Train</t>
  </si>
  <si>
    <t xml:space="preserve">RT AMD </t>
  </si>
  <si>
    <t xml:space="preserve">RT ARD </t>
  </si>
  <si>
    <t xml:space="preserve">RT MIX </t>
  </si>
  <si>
    <t>S3 Covica</t>
  </si>
  <si>
    <t>S4 Covica</t>
  </si>
  <si>
    <t>time (sec)</t>
  </si>
  <si>
    <t>time (min)</t>
  </si>
  <si>
    <t>Time</t>
  </si>
  <si>
    <t>pH measurements</t>
  </si>
  <si>
    <t>Test name</t>
  </si>
  <si>
    <t>naming of test runs: Location_calcite type_grainsize_number of test                                example: LG_Lake_PC_GS250_3                     (lagunazo lake, pure calcite, grainsize 250 microns, test run number 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</si>
</sst>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/>
    <xf numFmtId="0" fontId="0" fillId="0" borderId="2" xfId="0" applyBorder="1"/>
    <xf numFmtId="0" fontId="0" fillId="0" borderId="0" xfId="0" applyBorder="1"/>
    <xf numFmtId="0" fontId="1" fillId="0" borderId="7" xfId="0" applyFont="1" applyBorder="1"/>
    <xf numFmtId="0" fontId="1" fillId="0" borderId="8" xfId="0" applyFont="1" applyBorder="1"/>
    <xf numFmtId="0" fontId="2" fillId="0" borderId="9" xfId="0" applyFont="1" applyBorder="1"/>
    <xf numFmtId="0" fontId="1" fillId="0" borderId="10" xfId="0" applyFont="1" applyBorder="1"/>
    <xf numFmtId="0" fontId="4" fillId="0" borderId="3" xfId="0" applyFont="1" applyBorder="1" applyAlignment="1">
      <alignment horizontal="left"/>
    </xf>
    <xf numFmtId="0" fontId="4" fillId="0" borderId="4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0" borderId="6" xfId="0" applyFont="1" applyBorder="1" applyAlignment="1">
      <alignment horizontal="left"/>
    </xf>
    <xf numFmtId="0" fontId="3" fillId="0" borderId="12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"/>
  <sheetViews>
    <sheetView workbookViewId="0">
      <selection activeCell="A16" sqref="A16"/>
    </sheetView>
  </sheetViews>
  <sheetFormatPr defaultRowHeight="14.4" x14ac:dyDescent="0.3"/>
  <cols>
    <col min="2" max="2" width="12.6640625" customWidth="1"/>
    <col min="3" max="3" width="16.5546875" customWidth="1"/>
    <col min="4" max="4" width="23.21875" customWidth="1"/>
    <col min="5" max="5" width="19" customWidth="1"/>
    <col min="6" max="6" width="19.6640625" customWidth="1"/>
    <col min="7" max="7" width="23.4414062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6</v>
      </c>
    </row>
    <row r="4" spans="1:6" x14ac:dyDescent="0.3">
      <c r="A4" t="s">
        <v>7</v>
      </c>
    </row>
    <row r="6" spans="1:6" x14ac:dyDescent="0.3">
      <c r="A6" t="s">
        <v>8</v>
      </c>
    </row>
    <row r="7" spans="1:6" x14ac:dyDescent="0.3">
      <c r="A7" t="s">
        <v>9</v>
      </c>
    </row>
    <row r="9" spans="1:6" x14ac:dyDescent="0.3">
      <c r="A9" t="s">
        <v>10</v>
      </c>
    </row>
    <row r="11" spans="1:6" x14ac:dyDescent="0.3">
      <c r="A11" t="s">
        <v>11</v>
      </c>
    </row>
    <row r="13" spans="1:6" x14ac:dyDescent="0.3">
      <c r="A13" t="s">
        <v>12</v>
      </c>
    </row>
    <row r="15" spans="1:6" x14ac:dyDescent="0.3">
      <c r="A15" t="s">
        <v>13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4780E-0916-405A-AA62-F9DCA1CC4D68}">
  <dimension ref="A1:O28"/>
  <sheetViews>
    <sheetView tabSelected="1" workbookViewId="0">
      <selection activeCell="G19" sqref="G19"/>
    </sheetView>
  </sheetViews>
  <sheetFormatPr defaultRowHeight="14.4" x14ac:dyDescent="0.3"/>
  <cols>
    <col min="1" max="1" width="19.21875" customWidth="1"/>
    <col min="2" max="2" width="39.21875" customWidth="1"/>
    <col min="3" max="3" width="32.33203125" customWidth="1"/>
    <col min="4" max="4" width="26" customWidth="1"/>
  </cols>
  <sheetData>
    <row r="1" spans="1:15" ht="16.2" thickBot="1" x14ac:dyDescent="0.35">
      <c r="A1" s="14" t="s">
        <v>19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3"/>
    </row>
    <row r="2" spans="1:15" ht="15" thickBot="1" x14ac:dyDescent="0.35"/>
    <row r="3" spans="1:15" ht="18" x14ac:dyDescent="0.35">
      <c r="A3" s="8" t="s">
        <v>16</v>
      </c>
      <c r="B3" s="9"/>
      <c r="C3" s="10" t="s">
        <v>17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11"/>
    </row>
    <row r="4" spans="1:15" ht="15" thickBot="1" x14ac:dyDescent="0.35">
      <c r="A4" s="4" t="s">
        <v>14</v>
      </c>
      <c r="B4" s="5" t="s">
        <v>15</v>
      </c>
      <c r="C4" s="6" t="s">
        <v>18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7"/>
    </row>
    <row r="5" spans="1:15" x14ac:dyDescent="0.3">
      <c r="A5">
        <v>0</v>
      </c>
      <c r="B5">
        <f>A5/60</f>
        <v>0</v>
      </c>
      <c r="C5" s="2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3">
      <c r="A6">
        <v>30</v>
      </c>
      <c r="B6">
        <f t="shared" ref="B6:B28" si="0">A6/60</f>
        <v>0.5</v>
      </c>
      <c r="C6" s="2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3">
      <c r="A7">
        <v>60</v>
      </c>
      <c r="B7">
        <f t="shared" si="0"/>
        <v>1</v>
      </c>
      <c r="C7" s="2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5" x14ac:dyDescent="0.3">
      <c r="A8">
        <f>A7+30</f>
        <v>90</v>
      </c>
      <c r="B8">
        <f t="shared" si="0"/>
        <v>1.5</v>
      </c>
      <c r="C8" s="2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5" x14ac:dyDescent="0.3">
      <c r="A9">
        <f t="shared" ref="A9:A28" si="1">A8+30</f>
        <v>120</v>
      </c>
      <c r="B9">
        <f t="shared" si="0"/>
        <v>2</v>
      </c>
      <c r="C9" s="2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5" x14ac:dyDescent="0.3">
      <c r="A10">
        <f t="shared" si="1"/>
        <v>150</v>
      </c>
      <c r="B10">
        <f t="shared" si="0"/>
        <v>2.5</v>
      </c>
      <c r="C10" s="2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5" x14ac:dyDescent="0.3">
      <c r="A11">
        <f t="shared" si="1"/>
        <v>180</v>
      </c>
      <c r="B11">
        <f t="shared" si="0"/>
        <v>3</v>
      </c>
      <c r="C11" s="2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3">
      <c r="A12">
        <f t="shared" si="1"/>
        <v>210</v>
      </c>
      <c r="B12">
        <f t="shared" si="0"/>
        <v>3.5</v>
      </c>
      <c r="C12" s="2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3">
      <c r="A13">
        <f t="shared" si="1"/>
        <v>240</v>
      </c>
      <c r="B13">
        <f t="shared" si="0"/>
        <v>4</v>
      </c>
      <c r="C13" s="2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5" x14ac:dyDescent="0.3">
      <c r="A14">
        <f t="shared" si="1"/>
        <v>270</v>
      </c>
      <c r="B14">
        <f t="shared" si="0"/>
        <v>4.5</v>
      </c>
      <c r="C14" s="2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5" x14ac:dyDescent="0.3">
      <c r="A15">
        <f t="shared" si="1"/>
        <v>300</v>
      </c>
      <c r="B15">
        <f t="shared" si="0"/>
        <v>5</v>
      </c>
      <c r="C15" s="2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5" x14ac:dyDescent="0.3">
      <c r="A16">
        <f t="shared" si="1"/>
        <v>330</v>
      </c>
      <c r="B16">
        <f t="shared" si="0"/>
        <v>5.5</v>
      </c>
      <c r="C16" s="2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3">
      <c r="A17">
        <f t="shared" si="1"/>
        <v>360</v>
      </c>
      <c r="B17">
        <f t="shared" si="0"/>
        <v>6</v>
      </c>
      <c r="C17" s="2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3">
      <c r="A18">
        <f t="shared" si="1"/>
        <v>390</v>
      </c>
      <c r="B18">
        <f t="shared" si="0"/>
        <v>6.5</v>
      </c>
      <c r="C18" s="2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3">
      <c r="A19">
        <f t="shared" si="1"/>
        <v>420</v>
      </c>
      <c r="B19">
        <f t="shared" si="0"/>
        <v>7</v>
      </c>
      <c r="C19" s="2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3">
      <c r="A20">
        <f t="shared" si="1"/>
        <v>450</v>
      </c>
      <c r="B20">
        <f t="shared" si="0"/>
        <v>7.5</v>
      </c>
      <c r="C20" s="2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3">
      <c r="A21">
        <f t="shared" si="1"/>
        <v>480</v>
      </c>
      <c r="B21">
        <f t="shared" si="0"/>
        <v>8</v>
      </c>
      <c r="C21" s="2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3">
      <c r="A22">
        <f t="shared" si="1"/>
        <v>510</v>
      </c>
      <c r="B22">
        <f t="shared" si="0"/>
        <v>8.5</v>
      </c>
      <c r="C22" s="2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3">
      <c r="A23">
        <f t="shared" si="1"/>
        <v>540</v>
      </c>
      <c r="B23">
        <f t="shared" si="0"/>
        <v>9</v>
      </c>
      <c r="C23" s="2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3">
      <c r="A24">
        <f t="shared" si="1"/>
        <v>570</v>
      </c>
      <c r="B24">
        <f t="shared" si="0"/>
        <v>9.5</v>
      </c>
      <c r="C24" s="2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3">
      <c r="A25">
        <f>A24+30</f>
        <v>600</v>
      </c>
      <c r="B25">
        <f t="shared" si="0"/>
        <v>10</v>
      </c>
      <c r="C25" s="2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3">
      <c r="A26">
        <f t="shared" si="1"/>
        <v>630</v>
      </c>
      <c r="B26">
        <f t="shared" si="0"/>
        <v>10.5</v>
      </c>
      <c r="C26" s="2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3">
      <c r="A27">
        <f t="shared" si="1"/>
        <v>660</v>
      </c>
      <c r="B27">
        <f t="shared" si="0"/>
        <v>11</v>
      </c>
      <c r="C27" s="2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3">
      <c r="A28">
        <f t="shared" si="1"/>
        <v>690</v>
      </c>
      <c r="B28">
        <f t="shared" si="0"/>
        <v>11.5</v>
      </c>
      <c r="C28" s="2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</sheetData>
  <mergeCells count="3">
    <mergeCell ref="A3:B3"/>
    <mergeCell ref="C3:O3"/>
    <mergeCell ref="A1:L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pH values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Fionnah Kerr</dc:creator>
  <cp:lastModifiedBy>Fionnah Kerr</cp:lastModifiedBy>
  <dcterms:created xsi:type="dcterms:W3CDTF">2015-06-05T18:17:20Z</dcterms:created>
  <dcterms:modified xsi:type="dcterms:W3CDTF">2026-06-10T06:28:47Z</dcterms:modified>
</cp:coreProperties>
</file>